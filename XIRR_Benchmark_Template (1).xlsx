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ash Flows" sheetId="2" state="visible" r:id="rId4"/>
    <sheet name="Quarter Values" sheetId="3" state="visible" r:id="rId5"/>
    <sheet name="XIRR"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Deposit = NEGATIVE (money leaving your pocket into the account). Withdrawal = POSITIVE. This is the XIRR sign convention.</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Sum of your 30 positions = qty x price for each, totalled. The Factor Desk tool shows this 'invested' total.</t>
        </r>
      </text>
    </comment>
    <comment ref="D1" authorId="0">
      <text>
        <r>
          <rPr>
            <sz val="10"/>
            <rFont val="Arial"/>
            <family val="2"/>
          </rPr>
          <t xml:space="preserve">Total = Invested value + Leftover cash. This is the number XIRR uses as the account value on that date.</t>
        </r>
      </text>
    </comment>
    <comment ref="E1" authorId="0">
      <text>
        <r>
          <rPr>
            <sz val="10"/>
            <rFont val="Arial"/>
            <family val="2"/>
          </rPr>
          <t xml:space="preserve">Auto-filled by GOOGLEFINANCE when opened in Google Sheets. If a date is a weekend/holiday it returns the nearest prior close.</t>
        </r>
      </text>
    </comment>
  </commentList>
</comments>
</file>

<file path=xl/sharedStrings.xml><?xml version="1.0" encoding="utf-8"?>
<sst xmlns="http://schemas.openxmlformats.org/spreadsheetml/2006/main" count="54" uniqueCount="48">
  <si>
    <t xml:space="preserve">Factor Desk — XIRR &amp; S&amp;P 500 Benchmark</t>
  </si>
  <si>
    <t xml:space="preserve">Money-weighted return for your factor-investing account, by year, all-time, and custom ranges — compared to the S&amp;P 500.</t>
  </si>
  <si>
    <t xml:space="preserve">HOW IT WORKS  (read once)</t>
  </si>
  <si>
    <t xml:space="preserve">1.  Upload this file to Google Drive and open it with Google Sheets (the benchmark uses GOOGLEFINANCE, which only runs in Google Sheets).</t>
  </si>
  <si>
    <t xml:space="preserve">2.  Cash Flows tab — enter every time YOU added or removed your own money (from your IB statements). Deposits are negative, withdrawals positive. Rebalancing trades are NOT cash flows — ignore them.</t>
  </si>
  <si>
    <t xml:space="preserve">3.  Quarter Values tab — for each quarter, enter your 30 positions' total value PLUS leftover cash = your account's total value on that date. The last row = today's value.</t>
  </si>
  <si>
    <t xml:space="preserve">4.  The XIRR tab then shows your return and the S&amp;P 500's return on the SAME dated flows — by year, all-time, and any custom range you pick.</t>
  </si>
  <si>
    <t xml:space="preserve">COLOUR KEY</t>
  </si>
  <si>
    <t xml:space="preserve">Blue text = you type it in.   Black text = a formula, leave it alone.   Green text = pulled from another tab or GOOGLEFINANCE.</t>
  </si>
  <si>
    <t xml:space="preserve">IMPORTANT — what XIRR needs</t>
  </si>
  <si>
    <t xml:space="preserve">XIRR separates 'the market went up' from 'I deposited more money'. That is why your deposits (Cash Flows tab) and your account values (Quarter Values tab) are entered separately. You need both.</t>
  </si>
  <si>
    <t xml:space="preserve">Quarterly rebalancing (selling 30 names, buying 30 new ones) never leaves the account, so it is NOT a cash flow. Only your own deposits/withdrawals go in the Cash Flows tab.</t>
  </si>
  <si>
    <t xml:space="preserve">Your return is exact if your dated deposits and quarter-end values are exact. Approximate inputs give an approximate return.</t>
  </si>
  <si>
    <t xml:space="preserve">Date</t>
  </si>
  <si>
    <t xml:space="preserve">Amount (your money)</t>
  </si>
  <si>
    <t xml:space="preserve">Type</t>
  </si>
  <si>
    <t xml:space="preserve">Note</t>
  </si>
  <si>
    <t xml:space="preserve">Deposit</t>
  </si>
  <si>
    <t xml:space="preserve">Initial amount</t>
  </si>
  <si>
    <t xml:space="preserve">Top-up</t>
  </si>
  <si>
    <t xml:space="preserve">Deposits NEGATIVE, withdrawals POSITIVE. Dates as YYYY-MM-DD. These are the only cash flows XIRR uses (besides your account value on the valuation date).</t>
  </si>
  <si>
    <t xml:space="preserve">Quarter date</t>
  </si>
  <si>
    <t xml:space="preserve">Invested value (30 positions)</t>
  </si>
  <si>
    <t xml:space="preserve">Leftover cash</t>
  </si>
  <si>
    <t xml:space="preserve">Total account value</t>
  </si>
  <si>
    <t xml:space="preserve">SPY price (auto)</t>
  </si>
  <si>
    <t xml:space="preserve">Q1 start</t>
  </si>
  <si>
    <t xml:space="preserve">Q2</t>
  </si>
  <si>
    <t xml:space="preserve">Today / latest value</t>
  </si>
  <si>
    <t xml:space="preserve">Returns — you vs S&amp;P 500</t>
  </si>
  <si>
    <t xml:space="preserve">Money-weighted (XIRR). Your flows from Cash Flows tab + account value from Quarter Values tab. SPY column uses the same dated flows.</t>
  </si>
  <si>
    <t xml:space="preserve">Combined cash-flow series (built automatically)</t>
  </si>
  <si>
    <t xml:space="preserve">Your flow</t>
  </si>
  <si>
    <t xml:space="preserve">SPY units</t>
  </si>
  <si>
    <t xml:space="preserve">SPY flow (same € in SPY)</t>
  </si>
  <si>
    <t xml:space="preserve">&lt;- final account value (you) and SPY-equivalent value</t>
  </si>
  <si>
    <t xml:space="preserve">RESULTS</t>
  </si>
  <si>
    <t xml:space="preserve">Metric</t>
  </si>
  <si>
    <t xml:space="preserve">You</t>
  </si>
  <si>
    <t xml:space="preserve">S&amp;P 500</t>
  </si>
  <si>
    <t xml:space="preserve">Difference</t>
  </si>
  <si>
    <t xml:space="preserve">All-time XIRR</t>
  </si>
  <si>
    <t xml:space="preserve">Custom range</t>
  </si>
  <si>
    <t xml:space="preserve">From date</t>
  </si>
  <si>
    <t xml:space="preserve">To date</t>
  </si>
  <si>
    <t xml:space="preserve">XIRR in range (you)</t>
  </si>
  <si>
    <t xml:space="preserve">XIRR in range (SPY)</t>
  </si>
  <si>
    <t xml:space="preserve">Note: range XIRR uses deposits within the dates; for a true year-by-year figure, also add a Quarter Values row at each year-end so the opening/closing value is captured.</t>
  </si>
</sst>
</file>

<file path=xl/styles.xml><?xml version="1.0" encoding="utf-8"?>
<styleSheet xmlns="http://schemas.openxmlformats.org/spreadsheetml/2006/main">
  <numFmts count="7">
    <numFmt numFmtId="164" formatCode="General"/>
    <numFmt numFmtId="165" formatCode="yyyy\-mm\-dd"/>
    <numFmt numFmtId="166" formatCode="#,##0;\(#,##0\)"/>
    <numFmt numFmtId="167" formatCode="#,##0"/>
    <numFmt numFmtId="168" formatCode="#,##0.00"/>
    <numFmt numFmtId="169" formatCode="#,##0.000"/>
    <numFmt numFmtId="170" formatCode="0.0%"/>
  </numFmts>
  <fonts count="15">
    <font>
      <sz val="11"/>
      <color theme="1"/>
      <name val="Calibri"/>
      <family val="2"/>
      <charset val="1"/>
    </font>
    <font>
      <sz val="10"/>
      <name val="Arial"/>
      <family val="0"/>
    </font>
    <font>
      <sz val="10"/>
      <name val="Arial"/>
      <family val="0"/>
    </font>
    <font>
      <sz val="10"/>
      <name val="Arial"/>
      <family val="0"/>
    </font>
    <font>
      <b val="true"/>
      <sz val="16"/>
      <color rgb="FF13212B"/>
      <name val="Arial"/>
      <family val="0"/>
      <charset val="1"/>
    </font>
    <font>
      <sz val="10"/>
      <color rgb="FF43586A"/>
      <name val="Arial"/>
      <family val="0"/>
      <charset val="1"/>
    </font>
    <font>
      <b val="true"/>
      <sz val="12"/>
      <color rgb="FF1D6B5A"/>
      <name val="Arial"/>
      <family val="0"/>
      <charset val="1"/>
    </font>
    <font>
      <sz val="10"/>
      <color rgb="FF13212B"/>
      <name val="Arial"/>
      <family val="0"/>
      <charset val="1"/>
    </font>
    <font>
      <i val="true"/>
      <sz val="9"/>
      <color rgb="FF43586A"/>
      <name val="Arial"/>
      <family val="0"/>
      <charset val="1"/>
    </font>
    <font>
      <b val="true"/>
      <sz val="11"/>
      <color rgb="FFB4471F"/>
      <name val="Arial"/>
      <family val="0"/>
      <charset val="1"/>
    </font>
    <font>
      <b val="true"/>
      <sz val="11"/>
      <color rgb="FFFFFFFF"/>
      <name val="Arial"/>
      <family val="0"/>
      <charset val="1"/>
    </font>
    <font>
      <sz val="10"/>
      <color rgb="FF0000FF"/>
      <name val="Arial"/>
      <family val="0"/>
      <charset val="1"/>
    </font>
    <font>
      <sz val="10"/>
      <name val="Arial"/>
      <family val="2"/>
    </font>
    <font>
      <sz val="10"/>
      <color rgb="FF008000"/>
      <name val="Arial"/>
      <family val="0"/>
      <charset val="1"/>
    </font>
    <font>
      <b val="true"/>
      <sz val="10"/>
      <color rgb="FF13212B"/>
      <name val="Arial"/>
      <family val="0"/>
      <charset val="1"/>
    </font>
  </fonts>
  <fills count="6">
    <fill>
      <patternFill patternType="none"/>
    </fill>
    <fill>
      <patternFill patternType="gray125"/>
    </fill>
    <fill>
      <patternFill patternType="solid">
        <fgColor rgb="FFE3F0EC"/>
        <bgColor rgb="FFD9E0E3"/>
      </patternFill>
    </fill>
    <fill>
      <patternFill patternType="solid">
        <fgColor rgb="FFF7E6DF"/>
        <bgColor rgb="FFE3F0EC"/>
      </patternFill>
    </fill>
    <fill>
      <patternFill patternType="solid">
        <fgColor rgb="FF1D6B5A"/>
        <bgColor rgb="FF008080"/>
      </patternFill>
    </fill>
    <fill>
      <patternFill patternType="solid">
        <fgColor rgb="FFFFFDE7"/>
        <bgColor rgb="FFFFFFFF"/>
      </patternFill>
    </fill>
  </fills>
  <borders count="2">
    <border diagonalUp="false" diagonalDown="false">
      <left/>
      <right/>
      <top/>
      <bottom/>
      <diagonal/>
    </border>
    <border diagonalUp="false" diagonalDown="false">
      <left style="thin">
        <color rgb="FFD9E0E3"/>
      </left>
      <right style="thin">
        <color rgb="FFD9E0E3"/>
      </right>
      <top style="thin">
        <color rgb="FFD9E0E3"/>
      </top>
      <bottom style="thin">
        <color rgb="FFD9E0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3" borderId="0" xfId="0" applyFont="true" applyBorder="fals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left" vertical="center" textRotation="0" wrapText="false" indent="0" shrinkToFit="false"/>
      <protection locked="true" hidden="false"/>
    </xf>
    <xf numFmtId="166" fontId="11" fillId="0"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7" fontId="11" fillId="0" borderId="1" xfId="0" applyFont="true" applyBorder="true" applyAlignment="true" applyProtection="false">
      <alignment horizontal="left" vertical="center" textRotation="0" wrapText="false" indent="0" shrinkToFit="false"/>
      <protection locked="true" hidden="false"/>
    </xf>
    <xf numFmtId="167" fontId="7" fillId="0" borderId="1" xfId="0" applyFont="true" applyBorder="true" applyAlignment="true" applyProtection="false">
      <alignment horizontal="left" vertical="center" textRotation="0" wrapText="false" indent="0" shrinkToFit="false"/>
      <protection locked="true" hidden="false"/>
    </xf>
    <xf numFmtId="168" fontId="13" fillId="0" borderId="1" xfId="0" applyFont="true" applyBorder="true" applyAlignment="true" applyProtection="false">
      <alignment horizontal="left" vertical="center"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5" fontId="13" fillId="2" borderId="1" xfId="0" applyFont="true" applyBorder="true" applyAlignment="false" applyProtection="false">
      <alignment horizontal="general" vertical="bottom" textRotation="0" wrapText="false" indent="0" shrinkToFit="false"/>
      <protection locked="true" hidden="false"/>
    </xf>
    <xf numFmtId="167" fontId="13" fillId="2" borderId="1" xfId="0" applyFont="true" applyBorder="true" applyAlignment="false" applyProtection="false">
      <alignment horizontal="general" vertical="bottom" textRotation="0" wrapText="false" indent="0" shrinkToFit="false"/>
      <protection locked="true" hidden="false"/>
    </xf>
    <xf numFmtId="169" fontId="7"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5" fontId="11"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D6B5A"/>
      <rgbColor rgb="FFC0C0C0"/>
      <rgbColor rgb="FF808080"/>
      <rgbColor rgb="FF9999FF"/>
      <rgbColor rgb="FF993366"/>
      <rgbColor rgb="FFFFFDE7"/>
      <rgbColor rgb="FFE3F0EC"/>
      <rgbColor rgb="FF660066"/>
      <rgbColor rgb="FFFF8080"/>
      <rgbColor rgb="FF0066CC"/>
      <rgbColor rgb="FFD9E0E3"/>
      <rgbColor rgb="FF000080"/>
      <rgbColor rgb="FFFF00FF"/>
      <rgbColor rgb="FFFFFF00"/>
      <rgbColor rgb="FF00FFFF"/>
      <rgbColor rgb="FF800080"/>
      <rgbColor rgb="FF800000"/>
      <rgbColor rgb="FF008080"/>
      <rgbColor rgb="FF0000FF"/>
      <rgbColor rgb="FF00CCFF"/>
      <rgbColor rgb="FFCCFFFF"/>
      <rgbColor rgb="FFCCFFCC"/>
      <rgbColor rgb="FFF7E6DF"/>
      <rgbColor rgb="FF99CCFF"/>
      <rgbColor rgb="FFFF99CC"/>
      <rgbColor rgb="FFCC99FF"/>
      <rgbColor rgb="FFFFCC99"/>
      <rgbColor rgb="FF3366FF"/>
      <rgbColor rgb="FF33CCCC"/>
      <rgbColor rgb="FF99CC00"/>
      <rgbColor rgb="FFFFCC00"/>
      <rgbColor rgb="FFFF9900"/>
      <rgbColor rgb="FFFF6600"/>
      <rgbColor rgb="FF43586A"/>
      <rgbColor rgb="FF969696"/>
      <rgbColor rgb="FF003366"/>
      <rgbColor rgb="FF339966"/>
      <rgbColor rgb="FF13212B"/>
      <rgbColor rgb="FF333300"/>
      <rgbColor rgb="FFB4471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4"/>
  </cols>
  <sheetData>
    <row r="1" customFormat="false" ht="24" hidden="false" customHeight="true" outlineLevel="0" collapsed="false">
      <c r="B1" s="1" t="s">
        <v>0</v>
      </c>
    </row>
    <row r="2" customFormat="false" ht="15.75" hidden="false" customHeight="true" outlineLevel="0" collapsed="false">
      <c r="B2" s="2" t="s">
        <v>1</v>
      </c>
    </row>
    <row r="4" customFormat="false" ht="19.5" hidden="false" customHeight="true" outlineLevel="0" collapsed="false">
      <c r="B4" s="3" t="s">
        <v>2</v>
      </c>
    </row>
    <row r="5" customFormat="false" ht="30" hidden="false" customHeight="true" outlineLevel="0" collapsed="false">
      <c r="B5" s="4" t="s">
        <v>3</v>
      </c>
    </row>
    <row r="6" customFormat="false" ht="30" hidden="false" customHeight="true" outlineLevel="0" collapsed="false">
      <c r="B6" s="4" t="s">
        <v>4</v>
      </c>
    </row>
    <row r="7" customFormat="false" ht="30" hidden="false" customHeight="true" outlineLevel="0" collapsed="false">
      <c r="B7" s="4" t="s">
        <v>5</v>
      </c>
    </row>
    <row r="8" customFormat="false" ht="30" hidden="false" customHeight="true" outlineLevel="0" collapsed="false">
      <c r="B8" s="4" t="s">
        <v>6</v>
      </c>
    </row>
    <row r="10" customFormat="false" ht="19.5" hidden="false" customHeight="true" outlineLevel="0" collapsed="false">
      <c r="B10" s="3" t="s">
        <v>7</v>
      </c>
    </row>
    <row r="11" customFormat="false" ht="15.75" hidden="false" customHeight="true" outlineLevel="0" collapsed="false">
      <c r="B11" s="5" t="s">
        <v>8</v>
      </c>
    </row>
    <row r="13" customFormat="false" ht="19.5" hidden="false" customHeight="true" outlineLevel="0" collapsed="false">
      <c r="B13" s="6" t="s">
        <v>9</v>
      </c>
    </row>
    <row r="14" customFormat="false" ht="30" hidden="false" customHeight="true" outlineLevel="0" collapsed="false">
      <c r="B14" s="4" t="s">
        <v>10</v>
      </c>
    </row>
    <row r="15" customFormat="false" ht="30" hidden="false" customHeight="true" outlineLevel="0" collapsed="false">
      <c r="B15" s="4" t="s">
        <v>11</v>
      </c>
    </row>
    <row r="16" customFormat="false" ht="30" hidden="false" customHeight="true" outlineLevel="0" collapsed="false">
      <c r="B16" s="4"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16"/>
    <col collapsed="false" customWidth="true" hidden="false" outlineLevel="0" max="4" min="4" style="0" width="40"/>
  </cols>
  <sheetData>
    <row r="1" customFormat="false" ht="15" hidden="false" customHeight="false" outlineLevel="0" collapsed="false">
      <c r="A1" s="7" t="s">
        <v>13</v>
      </c>
      <c r="B1" s="7" t="s">
        <v>14</v>
      </c>
      <c r="C1" s="7" t="s">
        <v>15</v>
      </c>
      <c r="D1" s="7" t="s">
        <v>16</v>
      </c>
    </row>
    <row r="2" customFormat="false" ht="15" hidden="false" customHeight="false" outlineLevel="0" collapsed="false">
      <c r="A2" s="8" t="n">
        <v>46045</v>
      </c>
      <c r="B2" s="9" t="n">
        <v>-100000</v>
      </c>
      <c r="C2" s="10" t="s">
        <v>17</v>
      </c>
      <c r="D2" s="10" t="s">
        <v>18</v>
      </c>
    </row>
    <row r="3" customFormat="false" ht="15" hidden="false" customHeight="false" outlineLevel="0" collapsed="false">
      <c r="A3" s="8" t="n">
        <v>46127</v>
      </c>
      <c r="B3" s="9" t="n">
        <v>-15000</v>
      </c>
      <c r="C3" s="10" t="s">
        <v>17</v>
      </c>
      <c r="D3" s="10" t="s">
        <v>19</v>
      </c>
    </row>
    <row r="4" customFormat="false" ht="15" hidden="false" customHeight="false" outlineLevel="0" collapsed="false">
      <c r="A4" s="8" t="n">
        <v>46162</v>
      </c>
      <c r="B4" s="9" t="n">
        <v>-10000</v>
      </c>
      <c r="C4" s="10" t="s">
        <v>17</v>
      </c>
      <c r="D4" s="10" t="s">
        <v>19</v>
      </c>
    </row>
    <row r="5" customFormat="false" ht="15" hidden="false" customHeight="false" outlineLevel="0" collapsed="false">
      <c r="A5" s="11"/>
      <c r="B5" s="12"/>
      <c r="C5" s="13"/>
      <c r="D5" s="13"/>
    </row>
    <row r="6" customFormat="false" ht="15" hidden="false" customHeight="false" outlineLevel="0" collapsed="false">
      <c r="A6" s="11"/>
      <c r="B6" s="12"/>
      <c r="C6" s="13"/>
      <c r="D6" s="13"/>
    </row>
    <row r="7" customFormat="false" ht="15" hidden="false" customHeight="false" outlineLevel="0" collapsed="false">
      <c r="A7" s="11"/>
      <c r="B7" s="12"/>
      <c r="C7" s="13"/>
      <c r="D7" s="13"/>
    </row>
    <row r="8" customFormat="false" ht="15" hidden="false" customHeight="false" outlineLevel="0" collapsed="false">
      <c r="A8" s="11"/>
      <c r="B8" s="12"/>
      <c r="C8" s="13"/>
      <c r="D8" s="13"/>
    </row>
    <row r="9" customFormat="false" ht="15" hidden="false" customHeight="false" outlineLevel="0" collapsed="false">
      <c r="A9" s="11"/>
      <c r="B9" s="12"/>
      <c r="C9" s="13"/>
      <c r="D9" s="13"/>
    </row>
    <row r="10" customFormat="false" ht="15" hidden="false" customHeight="false" outlineLevel="0" collapsed="false">
      <c r="A10" s="11"/>
      <c r="B10" s="12"/>
      <c r="C10" s="13"/>
      <c r="D10" s="13"/>
    </row>
    <row r="11" customFormat="false" ht="15" hidden="false" customHeight="false" outlineLevel="0" collapsed="false">
      <c r="A11" s="11"/>
      <c r="B11" s="12"/>
      <c r="C11" s="13"/>
      <c r="D11" s="13"/>
    </row>
    <row r="12" customFormat="false" ht="15" hidden="false" customHeight="false" outlineLevel="0" collapsed="false">
      <c r="A12" s="11"/>
      <c r="B12" s="12"/>
      <c r="C12" s="13"/>
      <c r="D12" s="13"/>
    </row>
    <row r="13" customFormat="false" ht="15" hidden="false" customHeight="false" outlineLevel="0" collapsed="false">
      <c r="A13" s="11"/>
      <c r="B13" s="12"/>
      <c r="C13" s="13"/>
      <c r="D13" s="13"/>
    </row>
    <row r="14" customFormat="false" ht="15" hidden="false" customHeight="false" outlineLevel="0" collapsed="false">
      <c r="A14" s="11"/>
      <c r="B14" s="12"/>
      <c r="C14" s="13"/>
      <c r="D14" s="13"/>
    </row>
    <row r="15" customFormat="false" ht="15" hidden="false" customHeight="false" outlineLevel="0" collapsed="false">
      <c r="A15" s="11"/>
      <c r="B15" s="12"/>
      <c r="C15" s="13"/>
      <c r="D15" s="13"/>
    </row>
    <row r="16" customFormat="false" ht="15" hidden="false" customHeight="false" outlineLevel="0" collapsed="false">
      <c r="A16" s="11"/>
      <c r="B16" s="12"/>
      <c r="C16" s="13"/>
      <c r="D16" s="13"/>
    </row>
    <row r="17" customFormat="false" ht="15" hidden="false" customHeight="false" outlineLevel="0" collapsed="false">
      <c r="A17" s="11"/>
      <c r="B17" s="12"/>
      <c r="C17" s="13"/>
      <c r="D17" s="13"/>
    </row>
    <row r="18" customFormat="false" ht="15" hidden="false" customHeight="false" outlineLevel="0" collapsed="false">
      <c r="A18" s="11"/>
      <c r="B18" s="12"/>
      <c r="C18" s="13"/>
      <c r="D18" s="13"/>
    </row>
    <row r="19" customFormat="false" ht="15" hidden="false" customHeight="false" outlineLevel="0" collapsed="false">
      <c r="A19" s="11"/>
      <c r="B19" s="12"/>
      <c r="C19" s="13"/>
      <c r="D19" s="13"/>
    </row>
    <row r="20" customFormat="false" ht="15" hidden="false" customHeight="false" outlineLevel="0" collapsed="false">
      <c r="A20" s="11"/>
      <c r="B20" s="12"/>
      <c r="C20" s="13"/>
      <c r="D20" s="13"/>
    </row>
    <row r="21" customFormat="false" ht="15" hidden="false" customHeight="false" outlineLevel="0" collapsed="false">
      <c r="A21" s="11"/>
      <c r="B21" s="12"/>
      <c r="C21" s="13"/>
      <c r="D21" s="13"/>
    </row>
    <row r="22" customFormat="false" ht="15" hidden="false" customHeight="false" outlineLevel="0" collapsed="false">
      <c r="A22" s="11"/>
      <c r="B22" s="12"/>
      <c r="C22" s="13"/>
      <c r="D22" s="13"/>
    </row>
    <row r="23" customFormat="false" ht="15" hidden="false" customHeight="false" outlineLevel="0" collapsed="false">
      <c r="A23" s="11"/>
      <c r="B23" s="12"/>
      <c r="C23" s="13"/>
      <c r="D23" s="13"/>
    </row>
    <row r="24" customFormat="false" ht="15" hidden="false" customHeight="false" outlineLevel="0" collapsed="false">
      <c r="A24" s="11"/>
      <c r="B24" s="12"/>
      <c r="C24" s="13"/>
      <c r="D24" s="13"/>
    </row>
    <row r="25" customFormat="false" ht="15" hidden="false" customHeight="false" outlineLevel="0" collapsed="false">
      <c r="A25" s="11"/>
      <c r="B25" s="12"/>
      <c r="C25" s="13"/>
      <c r="D25" s="13"/>
    </row>
    <row r="26" customFormat="false" ht="15" hidden="false" customHeight="false" outlineLevel="0" collapsed="false">
      <c r="A26" s="11"/>
      <c r="B26" s="12"/>
      <c r="C26" s="13"/>
      <c r="D26" s="13"/>
    </row>
    <row r="27" customFormat="false" ht="15" hidden="false" customHeight="false" outlineLevel="0" collapsed="false">
      <c r="A27" s="11"/>
      <c r="B27" s="12"/>
      <c r="C27" s="13"/>
      <c r="D27" s="13"/>
    </row>
    <row r="28" customFormat="false" ht="15" hidden="false" customHeight="false" outlineLevel="0" collapsed="false">
      <c r="A28" s="11"/>
      <c r="B28" s="12"/>
      <c r="C28" s="13"/>
      <c r="D28" s="13"/>
    </row>
    <row r="29" customFormat="false" ht="15" hidden="false" customHeight="false" outlineLevel="0" collapsed="false">
      <c r="A29" s="11"/>
      <c r="B29" s="12"/>
      <c r="C29" s="13"/>
      <c r="D29" s="13"/>
    </row>
    <row r="30" customFormat="false" ht="15" hidden="false" customHeight="false" outlineLevel="0" collapsed="false">
      <c r="A30" s="11"/>
      <c r="B30" s="12"/>
      <c r="C30" s="13"/>
      <c r="D30" s="13"/>
    </row>
    <row r="31" customFormat="false" ht="15" hidden="false" customHeight="false" outlineLevel="0" collapsed="false">
      <c r="A31" s="11"/>
      <c r="B31" s="12"/>
      <c r="C31" s="13"/>
      <c r="D31" s="13"/>
    </row>
    <row r="32" customFormat="false" ht="15" hidden="false" customHeight="false" outlineLevel="0" collapsed="false">
      <c r="A32" s="11"/>
      <c r="B32" s="12"/>
      <c r="C32" s="13"/>
      <c r="D32" s="13"/>
    </row>
    <row r="33" customFormat="false" ht="15" hidden="false" customHeight="false" outlineLevel="0" collapsed="false">
      <c r="A33" s="11"/>
      <c r="B33" s="12"/>
      <c r="C33" s="13"/>
      <c r="D33" s="13"/>
    </row>
    <row r="34" customFormat="false" ht="15" hidden="false" customHeight="false" outlineLevel="0" collapsed="false">
      <c r="A34" s="11"/>
      <c r="B34" s="12"/>
      <c r="C34" s="13"/>
      <c r="D34" s="13"/>
    </row>
    <row r="35" customFormat="false" ht="15" hidden="false" customHeight="false" outlineLevel="0" collapsed="false">
      <c r="A35" s="11"/>
      <c r="B35" s="12"/>
      <c r="C35" s="13"/>
      <c r="D35" s="13"/>
    </row>
    <row r="36" customFormat="false" ht="15" hidden="false" customHeight="false" outlineLevel="0" collapsed="false">
      <c r="A36" s="11"/>
      <c r="B36" s="12"/>
      <c r="C36" s="13"/>
      <c r="D36" s="13"/>
    </row>
    <row r="37" customFormat="false" ht="15" hidden="false" customHeight="false" outlineLevel="0" collapsed="false">
      <c r="A37" s="11"/>
      <c r="B37" s="12"/>
      <c r="C37" s="13"/>
      <c r="D37" s="13"/>
    </row>
    <row r="38" customFormat="false" ht="15" hidden="false" customHeight="false" outlineLevel="0" collapsed="false">
      <c r="A38" s="11"/>
      <c r="B38" s="12"/>
      <c r="C38" s="13"/>
      <c r="D38" s="13"/>
    </row>
    <row r="39" customFormat="false" ht="15" hidden="false" customHeight="false" outlineLevel="0" collapsed="false">
      <c r="A39" s="11"/>
      <c r="B39" s="12"/>
      <c r="C39" s="13"/>
      <c r="D39" s="13"/>
    </row>
    <row r="41" customFormat="false" ht="15" hidden="false" customHeight="true" outlineLevel="0" collapsed="false">
      <c r="A41" s="14" t="s">
        <v>20</v>
      </c>
      <c r="B41" s="14"/>
      <c r="C41" s="14"/>
      <c r="D41" s="14"/>
    </row>
    <row r="42" customFormat="false" ht="15" hidden="false" customHeight="false" outlineLevel="0" collapsed="false">
      <c r="A42" s="14"/>
      <c r="B42" s="14"/>
      <c r="C42" s="14"/>
      <c r="D42" s="14"/>
    </row>
  </sheetData>
  <mergeCells count="1">
    <mergeCell ref="A41: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16"/>
    <col collapsed="false" customWidth="true" hidden="false" outlineLevel="0" max="4" min="4" style="0" width="22"/>
    <col collapsed="false" customWidth="true" hidden="false" outlineLevel="0" max="5" min="5" style="0" width="18"/>
    <col collapsed="false" customWidth="true" hidden="false" outlineLevel="0" max="6" min="6" style="0" width="28"/>
  </cols>
  <sheetData>
    <row r="1" customFormat="false" ht="15" hidden="false" customHeight="false" outlineLevel="0" collapsed="false">
      <c r="A1" s="7" t="s">
        <v>21</v>
      </c>
      <c r="B1" s="7" t="s">
        <v>22</v>
      </c>
      <c r="C1" s="7" t="s">
        <v>23</v>
      </c>
      <c r="D1" s="7" t="s">
        <v>24</v>
      </c>
      <c r="E1" s="7" t="s">
        <v>25</v>
      </c>
      <c r="F1" s="7" t="s">
        <v>16</v>
      </c>
    </row>
    <row r="2" customFormat="false" ht="15" hidden="false" customHeight="false" outlineLevel="0" collapsed="false">
      <c r="A2" s="8" t="n">
        <v>46045</v>
      </c>
      <c r="B2" s="15" t="n">
        <v>98500</v>
      </c>
      <c r="C2" s="15" t="n">
        <v>1500</v>
      </c>
      <c r="D2" s="16" t="n">
        <f aca="false">B2+C2</f>
        <v>100000</v>
      </c>
      <c r="E2" s="17" t="str">
        <f aca="false">IFERROR(INDEX(googlefinance("SPY","close",A2),2,2),"")</f>
        <v/>
      </c>
      <c r="F2" s="10" t="s">
        <v>26</v>
      </c>
    </row>
    <row r="3" customFormat="false" ht="15" hidden="false" customHeight="false" outlineLevel="0" collapsed="false">
      <c r="A3" s="8" t="n">
        <v>46162</v>
      </c>
      <c r="B3" s="15" t="n">
        <v>132000</v>
      </c>
      <c r="C3" s="15" t="n">
        <v>3000</v>
      </c>
      <c r="D3" s="16" t="n">
        <f aca="false">B3+C3</f>
        <v>135000</v>
      </c>
      <c r="E3" s="17" t="str">
        <f aca="false">IFERROR(INDEX(googlefinance("SPY","close",A3),2,2),"")</f>
        <v/>
      </c>
      <c r="F3" s="10" t="s">
        <v>27</v>
      </c>
    </row>
    <row r="4" customFormat="false" ht="15" hidden="false" customHeight="false" outlineLevel="0" collapsed="false">
      <c r="A4" s="8" t="n">
        <v>46188</v>
      </c>
      <c r="B4" s="15" t="n">
        <v>141000</v>
      </c>
      <c r="C4" s="15" t="n">
        <v>2500</v>
      </c>
      <c r="D4" s="16" t="n">
        <f aca="false">B4+C4</f>
        <v>143500</v>
      </c>
      <c r="E4" s="17" t="str">
        <f aca="false">IFERROR(INDEX(googlefinance("SPY","close",A4),2,2),"")</f>
        <v/>
      </c>
      <c r="F4" s="10" t="s">
        <v>28</v>
      </c>
    </row>
    <row r="5" customFormat="false" ht="15" hidden="false" customHeight="false" outlineLevel="0" collapsed="false">
      <c r="A5" s="11"/>
      <c r="B5" s="18"/>
      <c r="C5" s="18"/>
      <c r="D5" s="19" t="str">
        <f aca="false">IF(N(A5)=0,"",B5+C5)</f>
        <v/>
      </c>
      <c r="E5" s="20" t="str">
        <f aca="false">IF(N(A5)=0,"",IFERROR(INDEX(googlefinance("SPY","close",A5),2,2),""))</f>
        <v/>
      </c>
      <c r="F5" s="13"/>
    </row>
    <row r="6" customFormat="false" ht="15" hidden="false" customHeight="false" outlineLevel="0" collapsed="false">
      <c r="A6" s="11"/>
      <c r="B6" s="18"/>
      <c r="C6" s="18"/>
      <c r="D6" s="19" t="str">
        <f aca="false">IF(N(A6)=0,"",B6+C6)</f>
        <v/>
      </c>
      <c r="E6" s="20" t="str">
        <f aca="false">IF(N(A6)=0,"",IFERROR(INDEX(googlefinance("SPY","close",A6),2,2),""))</f>
        <v/>
      </c>
      <c r="F6" s="13"/>
    </row>
    <row r="7" customFormat="false" ht="15" hidden="false" customHeight="false" outlineLevel="0" collapsed="false">
      <c r="A7" s="11"/>
      <c r="B7" s="18"/>
      <c r="C7" s="18"/>
      <c r="D7" s="19" t="str">
        <f aca="false">IF(N(A7)=0,"",B7+C7)</f>
        <v/>
      </c>
      <c r="E7" s="20" t="str">
        <f aca="false">IF(N(A7)=0,"",IFERROR(INDEX(googlefinance("SPY","close",A7),2,2),""))</f>
        <v/>
      </c>
      <c r="F7" s="13"/>
    </row>
    <row r="8" customFormat="false" ht="15" hidden="false" customHeight="false" outlineLevel="0" collapsed="false">
      <c r="A8" s="11"/>
      <c r="B8" s="18"/>
      <c r="C8" s="18"/>
      <c r="D8" s="19" t="str">
        <f aca="false">IF(N(A8)=0,"",B8+C8)</f>
        <v/>
      </c>
      <c r="E8" s="20" t="str">
        <f aca="false">IF(N(A8)=0,"",IFERROR(INDEX(googlefinance("SPY","close",A8),2,2),""))</f>
        <v/>
      </c>
      <c r="F8" s="13"/>
    </row>
    <row r="9" customFormat="false" ht="15" hidden="false" customHeight="false" outlineLevel="0" collapsed="false">
      <c r="A9" s="11"/>
      <c r="B9" s="18"/>
      <c r="C9" s="18"/>
      <c r="D9" s="19" t="str">
        <f aca="false">IF(N(A9)=0,"",B9+C9)</f>
        <v/>
      </c>
      <c r="E9" s="20" t="str">
        <f aca="false">IF(N(A9)=0,"",IFERROR(INDEX(googlefinance("SPY","close",A9),2,2),""))</f>
        <v/>
      </c>
      <c r="F9" s="13"/>
    </row>
    <row r="10" customFormat="false" ht="15" hidden="false" customHeight="false" outlineLevel="0" collapsed="false">
      <c r="A10" s="11"/>
      <c r="B10" s="18"/>
      <c r="C10" s="18"/>
      <c r="D10" s="19" t="str">
        <f aca="false">IF(N(A10)=0,"",B10+C10)</f>
        <v/>
      </c>
      <c r="E10" s="20" t="str">
        <f aca="false">IF(N(A10)=0,"",IFERROR(INDEX(googlefinance("SPY","close",A10),2,2),""))</f>
        <v/>
      </c>
      <c r="F10" s="13"/>
    </row>
    <row r="11" customFormat="false" ht="15" hidden="false" customHeight="false" outlineLevel="0" collapsed="false">
      <c r="A11" s="11"/>
      <c r="B11" s="18"/>
      <c r="C11" s="18"/>
      <c r="D11" s="19" t="str">
        <f aca="false">IF(N(A11)=0,"",B11+C11)</f>
        <v/>
      </c>
      <c r="E11" s="20" t="str">
        <f aca="false">IF(N(A11)=0,"",IFERROR(INDEX(googlefinance("SPY","close",A11),2,2),""))</f>
        <v/>
      </c>
      <c r="F11" s="13"/>
    </row>
    <row r="12" customFormat="false" ht="15" hidden="false" customHeight="false" outlineLevel="0" collapsed="false">
      <c r="A12" s="11"/>
      <c r="B12" s="18"/>
      <c r="C12" s="18"/>
      <c r="D12" s="19" t="str">
        <f aca="false">IF(N(A12)=0,"",B12+C12)</f>
        <v/>
      </c>
      <c r="E12" s="20" t="str">
        <f aca="false">IF(N(A12)=0,"",IFERROR(INDEX(googlefinance("SPY","close",A12),2,2),""))</f>
        <v/>
      </c>
      <c r="F12" s="13"/>
    </row>
    <row r="13" customFormat="false" ht="15" hidden="false" customHeight="false" outlineLevel="0" collapsed="false">
      <c r="A13" s="11"/>
      <c r="B13" s="18"/>
      <c r="C13" s="18"/>
      <c r="D13" s="19" t="str">
        <f aca="false">IF(N(A13)=0,"",B13+C13)</f>
        <v/>
      </c>
      <c r="E13" s="20" t="str">
        <f aca="false">IF(N(A13)=0,"",IFERROR(INDEX(googlefinance("SPY","close",A13),2,2),""))</f>
        <v/>
      </c>
      <c r="F13" s="13"/>
    </row>
    <row r="14" customFormat="false" ht="15" hidden="false" customHeight="false" outlineLevel="0" collapsed="false">
      <c r="A14" s="11"/>
      <c r="B14" s="18"/>
      <c r="C14" s="18"/>
      <c r="D14" s="19" t="str">
        <f aca="false">IF(N(A14)=0,"",B14+C14)</f>
        <v/>
      </c>
      <c r="E14" s="20" t="str">
        <f aca="false">IF(N(A14)=0,"",IFERROR(INDEX(googlefinance("SPY","close",A14),2,2),""))</f>
        <v/>
      </c>
      <c r="F14" s="13"/>
    </row>
    <row r="15" customFormat="false" ht="15" hidden="false" customHeight="false" outlineLevel="0" collapsed="false">
      <c r="A15" s="11"/>
      <c r="B15" s="18"/>
      <c r="C15" s="18"/>
      <c r="D15" s="19" t="str">
        <f aca="false">IF(N(A15)=0,"",B15+C15)</f>
        <v/>
      </c>
      <c r="E15" s="20" t="str">
        <f aca="false">IF(N(A15)=0,"",IFERROR(INDEX(googlefinance("SPY","close",A15),2,2),""))</f>
        <v/>
      </c>
      <c r="F15" s="13"/>
    </row>
    <row r="16" customFormat="false" ht="15" hidden="false" customHeight="false" outlineLevel="0" collapsed="false">
      <c r="A16" s="11"/>
      <c r="B16" s="18"/>
      <c r="C16" s="18"/>
      <c r="D16" s="19" t="str">
        <f aca="false">IF(N(A16)=0,"",B16+C16)</f>
        <v/>
      </c>
      <c r="E16" s="20" t="str">
        <f aca="false">IF(N(A16)=0,"",IFERROR(INDEX(googlefinance("SPY","close",A16),2,2),""))</f>
        <v/>
      </c>
      <c r="F16" s="13"/>
    </row>
    <row r="17" customFormat="false" ht="15" hidden="false" customHeight="false" outlineLevel="0" collapsed="false">
      <c r="A17" s="11"/>
      <c r="B17" s="18"/>
      <c r="C17" s="18"/>
      <c r="D17" s="19" t="str">
        <f aca="false">IF(N(A17)=0,"",B17+C17)</f>
        <v/>
      </c>
      <c r="E17" s="20" t="str">
        <f aca="false">IF(N(A17)=0,"",IFERROR(INDEX(googlefinance("SPY","close",A17),2,2),""))</f>
        <v/>
      </c>
      <c r="F17" s="13"/>
    </row>
    <row r="18" customFormat="false" ht="15" hidden="false" customHeight="false" outlineLevel="0" collapsed="false">
      <c r="A18" s="11"/>
      <c r="B18" s="18"/>
      <c r="C18" s="18"/>
      <c r="D18" s="19" t="str">
        <f aca="false">IF(N(A18)=0,"",B18+C18)</f>
        <v/>
      </c>
      <c r="E18" s="20" t="str">
        <f aca="false">IF(N(A18)=0,"",IFERROR(INDEX(googlefinance("SPY","close",A18),2,2),""))</f>
        <v/>
      </c>
      <c r="F18" s="13"/>
    </row>
    <row r="19" customFormat="false" ht="15" hidden="false" customHeight="false" outlineLevel="0" collapsed="false">
      <c r="A19" s="11"/>
      <c r="B19" s="18"/>
      <c r="C19" s="18"/>
      <c r="D19" s="19" t="str">
        <f aca="false">IF(N(A19)=0,"",B19+C19)</f>
        <v/>
      </c>
      <c r="E19" s="20" t="str">
        <f aca="false">IF(N(A19)=0,"",IFERROR(INDEX(googlefinance("SPY","close",A19),2,2),""))</f>
        <v/>
      </c>
      <c r="F19" s="13"/>
    </row>
    <row r="20" customFormat="false" ht="15" hidden="false" customHeight="false" outlineLevel="0" collapsed="false">
      <c r="A20" s="11"/>
      <c r="B20" s="18"/>
      <c r="C20" s="18"/>
      <c r="D20" s="19" t="str">
        <f aca="false">IF(N(A20)=0,"",B20+C20)</f>
        <v/>
      </c>
      <c r="E20" s="20" t="str">
        <f aca="false">IF(N(A20)=0,"",IFERROR(INDEX(googlefinance("SPY","close",A20),2,2),""))</f>
        <v/>
      </c>
      <c r="F20" s="13"/>
    </row>
    <row r="21" customFormat="false" ht="15" hidden="false" customHeight="false" outlineLevel="0" collapsed="false">
      <c r="A21" s="11"/>
      <c r="B21" s="18"/>
      <c r="C21" s="18"/>
      <c r="D21" s="19" t="str">
        <f aca="false">IF(N(A21)=0,"",B21+C21)</f>
        <v/>
      </c>
      <c r="E21" s="20" t="str">
        <f aca="false">IF(N(A21)=0,"",IFERROR(INDEX(googlefinance("SPY","close",A21),2,2),""))</f>
        <v/>
      </c>
      <c r="F21" s="13"/>
    </row>
    <row r="22" customFormat="false" ht="15" hidden="false" customHeight="false" outlineLevel="0" collapsed="false">
      <c r="A22" s="11"/>
      <c r="B22" s="18"/>
      <c r="C22" s="18"/>
      <c r="D22" s="19" t="str">
        <f aca="false">IF(N(A22)=0,"",B22+C22)</f>
        <v/>
      </c>
      <c r="E22" s="20" t="str">
        <f aca="false">IF(N(A22)=0,"",IFERROR(INDEX(googlefinance("SPY","close",A22),2,2),""))</f>
        <v/>
      </c>
      <c r="F22" s="13"/>
    </row>
    <row r="23" customFormat="false" ht="15" hidden="false" customHeight="false" outlineLevel="0" collapsed="false">
      <c r="A23" s="11"/>
      <c r="B23" s="18"/>
      <c r="C23" s="18"/>
      <c r="D23" s="19" t="str">
        <f aca="false">IF(N(A23)=0,"",B23+C23)</f>
        <v/>
      </c>
      <c r="E23" s="20" t="str">
        <f aca="false">IF(N(A23)=0,"",IFERROR(INDEX(googlefinance("SPY","close",A23),2,2),""))</f>
        <v/>
      </c>
      <c r="F23" s="13"/>
    </row>
    <row r="24" customFormat="false" ht="15" hidden="false" customHeight="false" outlineLevel="0" collapsed="false">
      <c r="A24" s="11"/>
      <c r="B24" s="18"/>
      <c r="C24" s="18"/>
      <c r="D24" s="19" t="str">
        <f aca="false">IF(N(A24)=0,"",B24+C24)</f>
        <v/>
      </c>
      <c r="E24" s="20" t="str">
        <f aca="false">IF(N(A24)=0,"",IFERROR(INDEX(googlefinance("SPY","close",A24),2,2),""))</f>
        <v/>
      </c>
      <c r="F24" s="13"/>
    </row>
    <row r="25" customFormat="false" ht="15" hidden="false" customHeight="false" outlineLevel="0" collapsed="false">
      <c r="A25" s="11"/>
      <c r="B25" s="18"/>
      <c r="C25" s="18"/>
      <c r="D25" s="19" t="str">
        <f aca="false">IF(N(A25)=0,"",B25+C25)</f>
        <v/>
      </c>
      <c r="E25" s="20" t="str">
        <f aca="false">IF(N(A25)=0,"",IFERROR(INDEX(googlefinance("SPY","close",A25),2,2),""))</f>
        <v/>
      </c>
      <c r="F25" s="13"/>
    </row>
    <row r="26" customFormat="false" ht="15" hidden="false" customHeight="false" outlineLevel="0" collapsed="false">
      <c r="A26" s="11"/>
      <c r="B26" s="18"/>
      <c r="C26" s="18"/>
      <c r="D26" s="19" t="str">
        <f aca="false">IF(N(A26)=0,"",B26+C26)</f>
        <v/>
      </c>
      <c r="E26" s="20" t="str">
        <f aca="false">IF(N(A26)=0,"",IFERROR(INDEX(googlefinance("SPY","close",A26),2,2),""))</f>
        <v/>
      </c>
      <c r="F26" s="13"/>
    </row>
    <row r="27" customFormat="false" ht="15" hidden="false" customHeight="false" outlineLevel="0" collapsed="false">
      <c r="A27" s="11"/>
      <c r="B27" s="18"/>
      <c r="C27" s="18"/>
      <c r="D27" s="19" t="str">
        <f aca="false">IF(N(A27)=0,"",B27+C27)</f>
        <v/>
      </c>
      <c r="E27" s="20" t="str">
        <f aca="false">IF(N(A27)=0,"",IFERROR(INDEX(googlefinance("SPY","close",A27),2,2),""))</f>
        <v/>
      </c>
      <c r="F27" s="13"/>
    </row>
    <row r="28" customFormat="false" ht="15" hidden="false" customHeight="false" outlineLevel="0" collapsed="false">
      <c r="A28" s="11"/>
      <c r="B28" s="18"/>
      <c r="C28" s="18"/>
      <c r="D28" s="19" t="str">
        <f aca="false">IF(N(A28)=0,"",B28+C28)</f>
        <v/>
      </c>
      <c r="E28" s="20" t="str">
        <f aca="false">IF(N(A28)=0,"",IFERROR(INDEX(googlefinance("SPY","close",A28),2,2),""))</f>
        <v/>
      </c>
      <c r="F28" s="13"/>
    </row>
    <row r="29" customFormat="false" ht="15" hidden="false" customHeight="false" outlineLevel="0" collapsed="false">
      <c r="A29" s="11"/>
      <c r="B29" s="18"/>
      <c r="C29" s="18"/>
      <c r="D29" s="19" t="str">
        <f aca="false">IF(N(A29)=0,"",B29+C29)</f>
        <v/>
      </c>
      <c r="E29" s="20" t="str">
        <f aca="false">IF(N(A29)=0,"",IFERROR(INDEX(googlefinance("SPY","close",A29),2,2),""))</f>
        <v/>
      </c>
      <c r="F29" s="13"/>
    </row>
    <row r="30" customFormat="false" ht="15" hidden="false" customHeight="false" outlineLevel="0" collapsed="false">
      <c r="A30" s="11"/>
      <c r="B30" s="18"/>
      <c r="C30" s="18"/>
      <c r="D30" s="19" t="str">
        <f aca="false">IF(N(A30)=0,"",B30+C30)</f>
        <v/>
      </c>
      <c r="E30" s="20" t="str">
        <f aca="false">IF(N(A30)=0,"",IFERROR(INDEX(googlefinance("SPY","close",A30),2,2),""))</f>
        <v/>
      </c>
      <c r="F30" s="13"/>
    </row>
    <row r="31" customFormat="false" ht="15" hidden="false" customHeight="false" outlineLevel="0" collapsed="false">
      <c r="A31" s="11"/>
      <c r="B31" s="18"/>
      <c r="C31" s="18"/>
      <c r="D31" s="19" t="str">
        <f aca="false">IF(N(A31)=0,"",B31+C31)</f>
        <v/>
      </c>
      <c r="E31" s="20" t="str">
        <f aca="false">IF(N(A31)=0,"",IFERROR(INDEX(googlefinance("SPY","close",A31),2,2),""))</f>
        <v/>
      </c>
      <c r="F31" s="13"/>
    </row>
    <row r="32" customFormat="false" ht="15" hidden="false" customHeight="false" outlineLevel="0" collapsed="false">
      <c r="A32" s="11"/>
      <c r="B32" s="18"/>
      <c r="C32" s="18"/>
      <c r="D32" s="19" t="str">
        <f aca="false">IF(N(A32)=0,"",B32+C32)</f>
        <v/>
      </c>
      <c r="E32" s="20" t="str">
        <f aca="false">IF(N(A32)=0,"",IFERROR(INDEX(googlefinance("SPY","close",A32),2,2),""))</f>
        <v/>
      </c>
      <c r="F32" s="13"/>
    </row>
    <row r="33" customFormat="false" ht="15" hidden="false" customHeight="false" outlineLevel="0" collapsed="false">
      <c r="A33" s="11"/>
      <c r="B33" s="18"/>
      <c r="C33" s="18"/>
      <c r="D33" s="19" t="str">
        <f aca="false">IF(N(A33)=0,"",B33+C33)</f>
        <v/>
      </c>
      <c r="E33" s="20" t="str">
        <f aca="false">IF(N(A33)=0,"",IFERROR(INDEX(googlefinance("SPY","close",A33),2,2),""))</f>
        <v/>
      </c>
      <c r="F33" s="13"/>
    </row>
    <row r="34" customFormat="false" ht="15" hidden="false" customHeight="false" outlineLevel="0" collapsed="false">
      <c r="A34" s="11"/>
      <c r="B34" s="18"/>
      <c r="C34" s="18"/>
      <c r="D34" s="19" t="str">
        <f aca="false">IF(N(A34)=0,"",B34+C34)</f>
        <v/>
      </c>
      <c r="E34" s="20" t="str">
        <f aca="false">IF(N(A34)=0,"",IFERROR(INDEX(googlefinance("SPY","close",A34),2,2),""))</f>
        <v/>
      </c>
      <c r="F34"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7" min="3" style="0" width="16"/>
  </cols>
  <sheetData>
    <row r="1" customFormat="false" ht="19.7" hidden="false" customHeight="false" outlineLevel="0" collapsed="false">
      <c r="B1" s="21" t="s">
        <v>29</v>
      </c>
    </row>
    <row r="2" customFormat="false" ht="15" hidden="false" customHeight="false" outlineLevel="0" collapsed="false">
      <c r="B2" s="22" t="s">
        <v>30</v>
      </c>
      <c r="C2" s="22"/>
      <c r="D2" s="22"/>
      <c r="E2" s="22"/>
      <c r="F2" s="22"/>
      <c r="G2" s="22"/>
    </row>
    <row r="3" customFormat="false" ht="15" hidden="false" customHeight="false" outlineLevel="0" collapsed="false">
      <c r="B3" s="23" t="s">
        <v>31</v>
      </c>
    </row>
    <row r="4" customFormat="false" ht="15" hidden="false" customHeight="false" outlineLevel="0" collapsed="false">
      <c r="B4" s="7" t="s">
        <v>13</v>
      </c>
      <c r="C4" s="7" t="s">
        <v>32</v>
      </c>
      <c r="D4" s="7" t="s">
        <v>33</v>
      </c>
      <c r="E4" s="7" t="s">
        <v>34</v>
      </c>
      <c r="F4" s="7"/>
    </row>
    <row r="5" customFormat="false" ht="15" hidden="false" customHeight="false" outlineLevel="0" collapsed="false">
      <c r="B5" s="24" t="n">
        <f aca="false">IF(N('Cash Flows'!A2)=0,"",'Cash Flows'!A2)</f>
        <v>46045</v>
      </c>
      <c r="C5" s="25" t="n">
        <f aca="false">IF(N('Cash Flows'!A2)=0,"",'Cash Flows'!B2)</f>
        <v>-100000</v>
      </c>
      <c r="D5" s="26" t="str">
        <f aca="false">IF(N(B5)=0,"",IFERROR(-C5/INDEX(googlefinance("SPY","close",B5),2,2),""))</f>
        <v/>
      </c>
      <c r="E5" s="27" t="n">
        <f aca="false">IF(N(B5)=0,"",C5)</f>
        <v>-100000</v>
      </c>
    </row>
    <row r="6" customFormat="false" ht="15" hidden="false" customHeight="false" outlineLevel="0" collapsed="false">
      <c r="B6" s="24" t="n">
        <f aca="false">IF(N('Cash Flows'!A3)=0,"",'Cash Flows'!A3)</f>
        <v>46127</v>
      </c>
      <c r="C6" s="25" t="n">
        <f aca="false">IF(N('Cash Flows'!A3)=0,"",'Cash Flows'!B3)</f>
        <v>-15000</v>
      </c>
      <c r="D6" s="26" t="str">
        <f aca="false">IF(N(B6)=0,"",IFERROR(-C6/INDEX(googlefinance("SPY","close",B6),2,2),""))</f>
        <v/>
      </c>
      <c r="E6" s="27" t="n">
        <f aca="false">IF(N(B6)=0,"",C6)</f>
        <v>-15000</v>
      </c>
    </row>
    <row r="7" customFormat="false" ht="15" hidden="false" customHeight="false" outlineLevel="0" collapsed="false">
      <c r="B7" s="24" t="n">
        <f aca="false">IF(N('Cash Flows'!A4)=0,"",'Cash Flows'!A4)</f>
        <v>46162</v>
      </c>
      <c r="C7" s="25" t="n">
        <f aca="false">IF(N('Cash Flows'!A4)=0,"",'Cash Flows'!B4)</f>
        <v>-10000</v>
      </c>
      <c r="D7" s="26" t="str">
        <f aca="false">IF(N(B7)=0,"",IFERROR(-C7/INDEX(googlefinance("SPY","close",B7),2,2),""))</f>
        <v/>
      </c>
      <c r="E7" s="27" t="n">
        <f aca="false">IF(N(B7)=0,"",C7)</f>
        <v>-10000</v>
      </c>
    </row>
    <row r="8" customFormat="false" ht="15" hidden="false" customHeight="false" outlineLevel="0" collapsed="false">
      <c r="B8" s="24" t="str">
        <f aca="false">IF(N('Cash Flows'!A5)=0,"",'Cash Flows'!A5)</f>
        <v/>
      </c>
      <c r="C8" s="25" t="str">
        <f aca="false">IF(N('Cash Flows'!A5)=0,"",'Cash Flows'!B5)</f>
        <v/>
      </c>
      <c r="D8" s="26" t="str">
        <f aca="false">IF(N(B8)=0,"",IFERROR(-C8/INDEX(googlefinance("SPY","close",B8),2,2),""))</f>
        <v/>
      </c>
      <c r="E8" s="27" t="str">
        <f aca="false">IF(N(B8)=0,"",C8)</f>
        <v/>
      </c>
    </row>
    <row r="9" customFormat="false" ht="15" hidden="false" customHeight="false" outlineLevel="0" collapsed="false">
      <c r="B9" s="24" t="str">
        <f aca="false">IF(N('Cash Flows'!A6)=0,"",'Cash Flows'!A6)</f>
        <v/>
      </c>
      <c r="C9" s="25" t="str">
        <f aca="false">IF(N('Cash Flows'!A6)=0,"",'Cash Flows'!B6)</f>
        <v/>
      </c>
      <c r="D9" s="26" t="str">
        <f aca="false">IF(N(B9)=0,"",IFERROR(-C9/INDEX(googlefinance("SPY","close",B9),2,2),""))</f>
        <v/>
      </c>
      <c r="E9" s="27" t="str">
        <f aca="false">IF(N(B9)=0,"",C9)</f>
        <v/>
      </c>
    </row>
    <row r="10" customFormat="false" ht="15" hidden="false" customHeight="false" outlineLevel="0" collapsed="false">
      <c r="B10" s="24" t="str">
        <f aca="false">IF(N('Cash Flows'!A7)=0,"",'Cash Flows'!A7)</f>
        <v/>
      </c>
      <c r="C10" s="25" t="str">
        <f aca="false">IF(N('Cash Flows'!A7)=0,"",'Cash Flows'!B7)</f>
        <v/>
      </c>
      <c r="D10" s="26" t="str">
        <f aca="false">IF(N(B10)=0,"",IFERROR(-C10/INDEX(googlefinance("SPY","close",B10),2,2),""))</f>
        <v/>
      </c>
      <c r="E10" s="27" t="str">
        <f aca="false">IF(N(B10)=0,"",C10)</f>
        <v/>
      </c>
    </row>
    <row r="11" customFormat="false" ht="15" hidden="false" customHeight="false" outlineLevel="0" collapsed="false">
      <c r="B11" s="24" t="str">
        <f aca="false">IF(N('Cash Flows'!A8)=0,"",'Cash Flows'!A8)</f>
        <v/>
      </c>
      <c r="C11" s="25" t="str">
        <f aca="false">IF(N('Cash Flows'!A8)=0,"",'Cash Flows'!B8)</f>
        <v/>
      </c>
      <c r="D11" s="26" t="str">
        <f aca="false">IF(N(B11)=0,"",IFERROR(-C11/INDEX(googlefinance("SPY","close",B11),2,2),""))</f>
        <v/>
      </c>
      <c r="E11" s="27" t="str">
        <f aca="false">IF(N(B11)=0,"",C11)</f>
        <v/>
      </c>
    </row>
    <row r="12" customFormat="false" ht="15" hidden="false" customHeight="false" outlineLevel="0" collapsed="false">
      <c r="B12" s="24" t="str">
        <f aca="false">IF(N('Cash Flows'!A9)=0,"",'Cash Flows'!A9)</f>
        <v/>
      </c>
      <c r="C12" s="25" t="str">
        <f aca="false">IF(N('Cash Flows'!A9)=0,"",'Cash Flows'!B9)</f>
        <v/>
      </c>
      <c r="D12" s="26" t="str">
        <f aca="false">IF(N(B12)=0,"",IFERROR(-C12/INDEX(googlefinance("SPY","close",B12),2,2),""))</f>
        <v/>
      </c>
      <c r="E12" s="27" t="str">
        <f aca="false">IF(N(B12)=0,"",C12)</f>
        <v/>
      </c>
    </row>
    <row r="13" customFormat="false" ht="15" hidden="false" customHeight="false" outlineLevel="0" collapsed="false">
      <c r="B13" s="24" t="str">
        <f aca="false">IF(N('Cash Flows'!A10)=0,"",'Cash Flows'!A10)</f>
        <v/>
      </c>
      <c r="C13" s="25" t="str">
        <f aca="false">IF(N('Cash Flows'!A10)=0,"",'Cash Flows'!B10)</f>
        <v/>
      </c>
      <c r="D13" s="26" t="str">
        <f aca="false">IF(N(B13)=0,"",IFERROR(-C13/INDEX(googlefinance("SPY","close",B13),2,2),""))</f>
        <v/>
      </c>
      <c r="E13" s="27" t="str">
        <f aca="false">IF(N(B13)=0,"",C13)</f>
        <v/>
      </c>
    </row>
    <row r="14" customFormat="false" ht="15" hidden="false" customHeight="false" outlineLevel="0" collapsed="false">
      <c r="B14" s="24" t="str">
        <f aca="false">IF(N('Cash Flows'!A11)=0,"",'Cash Flows'!A11)</f>
        <v/>
      </c>
      <c r="C14" s="25" t="str">
        <f aca="false">IF(N('Cash Flows'!A11)=0,"",'Cash Flows'!B11)</f>
        <v/>
      </c>
      <c r="D14" s="26" t="str">
        <f aca="false">IF(N(B14)=0,"",IFERROR(-C14/INDEX(googlefinance("SPY","close",B14),2,2),""))</f>
        <v/>
      </c>
      <c r="E14" s="27" t="str">
        <f aca="false">IF(N(B14)=0,"",C14)</f>
        <v/>
      </c>
    </row>
    <row r="15" customFormat="false" ht="15" hidden="false" customHeight="false" outlineLevel="0" collapsed="false">
      <c r="B15" s="24" t="str">
        <f aca="false">IF(N('Cash Flows'!A12)=0,"",'Cash Flows'!A12)</f>
        <v/>
      </c>
      <c r="C15" s="25" t="str">
        <f aca="false">IF(N('Cash Flows'!A12)=0,"",'Cash Flows'!B12)</f>
        <v/>
      </c>
      <c r="D15" s="26" t="str">
        <f aca="false">IF(N(B15)=0,"",IFERROR(-C15/INDEX(googlefinance("SPY","close",B15),2,2),""))</f>
        <v/>
      </c>
      <c r="E15" s="27" t="str">
        <f aca="false">IF(N(B15)=0,"",C15)</f>
        <v/>
      </c>
    </row>
    <row r="16" customFormat="false" ht="15" hidden="false" customHeight="false" outlineLevel="0" collapsed="false">
      <c r="B16" s="24" t="str">
        <f aca="false">IF(N('Cash Flows'!A13)=0,"",'Cash Flows'!A13)</f>
        <v/>
      </c>
      <c r="C16" s="25" t="str">
        <f aca="false">IF(N('Cash Flows'!A13)=0,"",'Cash Flows'!B13)</f>
        <v/>
      </c>
      <c r="D16" s="26" t="str">
        <f aca="false">IF(N(B16)=0,"",IFERROR(-C16/INDEX(googlefinance("SPY","close",B16),2,2),""))</f>
        <v/>
      </c>
      <c r="E16" s="27" t="str">
        <f aca="false">IF(N(B16)=0,"",C16)</f>
        <v/>
      </c>
    </row>
    <row r="17" customFormat="false" ht="15" hidden="false" customHeight="false" outlineLevel="0" collapsed="false">
      <c r="B17" s="24" t="str">
        <f aca="false">IF(N('Cash Flows'!A14)=0,"",'Cash Flows'!A14)</f>
        <v/>
      </c>
      <c r="C17" s="25" t="str">
        <f aca="false">IF(N('Cash Flows'!A14)=0,"",'Cash Flows'!B14)</f>
        <v/>
      </c>
      <c r="D17" s="26" t="str">
        <f aca="false">IF(N(B17)=0,"",IFERROR(-C17/INDEX(googlefinance("SPY","close",B17),2,2),""))</f>
        <v/>
      </c>
      <c r="E17" s="27" t="str">
        <f aca="false">IF(N(B17)=0,"",C17)</f>
        <v/>
      </c>
    </row>
    <row r="18" customFormat="false" ht="15" hidden="false" customHeight="false" outlineLevel="0" collapsed="false">
      <c r="B18" s="24" t="str">
        <f aca="false">IF(N('Cash Flows'!A15)=0,"",'Cash Flows'!A15)</f>
        <v/>
      </c>
      <c r="C18" s="25" t="str">
        <f aca="false">IF(N('Cash Flows'!A15)=0,"",'Cash Flows'!B15)</f>
        <v/>
      </c>
      <c r="D18" s="26" t="str">
        <f aca="false">IF(N(B18)=0,"",IFERROR(-C18/INDEX(googlefinance("SPY","close",B18),2,2),""))</f>
        <v/>
      </c>
      <c r="E18" s="27" t="str">
        <f aca="false">IF(N(B18)=0,"",C18)</f>
        <v/>
      </c>
    </row>
    <row r="19" customFormat="false" ht="15" hidden="false" customHeight="false" outlineLevel="0" collapsed="false">
      <c r="B19" s="24" t="str">
        <f aca="false">IF(N('Cash Flows'!A16)=0,"",'Cash Flows'!A16)</f>
        <v/>
      </c>
      <c r="C19" s="25" t="str">
        <f aca="false">IF(N('Cash Flows'!A16)=0,"",'Cash Flows'!B16)</f>
        <v/>
      </c>
      <c r="D19" s="26" t="str">
        <f aca="false">IF(N(B19)=0,"",IFERROR(-C19/INDEX(googlefinance("SPY","close",B19),2,2),""))</f>
        <v/>
      </c>
      <c r="E19" s="27" t="str">
        <f aca="false">IF(N(B19)=0,"",C19)</f>
        <v/>
      </c>
    </row>
    <row r="20" customFormat="false" ht="15" hidden="false" customHeight="false" outlineLevel="0" collapsed="false">
      <c r="B20" s="24" t="str">
        <f aca="false">IF(N('Cash Flows'!A17)=0,"",'Cash Flows'!A17)</f>
        <v/>
      </c>
      <c r="C20" s="25" t="str">
        <f aca="false">IF(N('Cash Flows'!A17)=0,"",'Cash Flows'!B17)</f>
        <v/>
      </c>
      <c r="D20" s="26" t="str">
        <f aca="false">IF(N(B20)=0,"",IFERROR(-C20/INDEX(googlefinance("SPY","close",B20),2,2),""))</f>
        <v/>
      </c>
      <c r="E20" s="27" t="str">
        <f aca="false">IF(N(B20)=0,"",C20)</f>
        <v/>
      </c>
    </row>
    <row r="21" customFormat="false" ht="15" hidden="false" customHeight="false" outlineLevel="0" collapsed="false">
      <c r="B21" s="24" t="str">
        <f aca="false">IF(N('Cash Flows'!A18)=0,"",'Cash Flows'!A18)</f>
        <v/>
      </c>
      <c r="C21" s="25" t="str">
        <f aca="false">IF(N('Cash Flows'!A18)=0,"",'Cash Flows'!B18)</f>
        <v/>
      </c>
      <c r="D21" s="26" t="str">
        <f aca="false">IF(N(B21)=0,"",IFERROR(-C21/INDEX(googlefinance("SPY","close",B21),2,2),""))</f>
        <v/>
      </c>
      <c r="E21" s="27" t="str">
        <f aca="false">IF(N(B21)=0,"",C21)</f>
        <v/>
      </c>
    </row>
    <row r="22" customFormat="false" ht="15" hidden="false" customHeight="false" outlineLevel="0" collapsed="false">
      <c r="B22" s="24" t="str">
        <f aca="false">IF(N('Cash Flows'!A19)=0,"",'Cash Flows'!A19)</f>
        <v/>
      </c>
      <c r="C22" s="25" t="str">
        <f aca="false">IF(N('Cash Flows'!A19)=0,"",'Cash Flows'!B19)</f>
        <v/>
      </c>
      <c r="D22" s="26" t="str">
        <f aca="false">IF(N(B22)=0,"",IFERROR(-C22/INDEX(googlefinance("SPY","close",B22),2,2),""))</f>
        <v/>
      </c>
      <c r="E22" s="27" t="str">
        <f aca="false">IF(N(B22)=0,"",C22)</f>
        <v/>
      </c>
    </row>
    <row r="23" customFormat="false" ht="15" hidden="false" customHeight="false" outlineLevel="0" collapsed="false">
      <c r="B23" s="24" t="str">
        <f aca="false">IF(N('Cash Flows'!A20)=0,"",'Cash Flows'!A20)</f>
        <v/>
      </c>
      <c r="C23" s="25" t="str">
        <f aca="false">IF(N('Cash Flows'!A20)=0,"",'Cash Flows'!B20)</f>
        <v/>
      </c>
      <c r="D23" s="26" t="str">
        <f aca="false">IF(N(B23)=0,"",IFERROR(-C23/INDEX(googlefinance("SPY","close",B23),2,2),""))</f>
        <v/>
      </c>
      <c r="E23" s="27" t="str">
        <f aca="false">IF(N(B23)=0,"",C23)</f>
        <v/>
      </c>
    </row>
    <row r="24" customFormat="false" ht="15" hidden="false" customHeight="false" outlineLevel="0" collapsed="false">
      <c r="B24" s="24" t="str">
        <f aca="false">IF(N('Cash Flows'!A21)=0,"",'Cash Flows'!A21)</f>
        <v/>
      </c>
      <c r="C24" s="25" t="str">
        <f aca="false">IF(N('Cash Flows'!A21)=0,"",'Cash Flows'!B21)</f>
        <v/>
      </c>
      <c r="D24" s="26" t="str">
        <f aca="false">IF(N(B24)=0,"",IFERROR(-C24/INDEX(googlefinance("SPY","close",B24),2,2),""))</f>
        <v/>
      </c>
      <c r="E24" s="27" t="str">
        <f aca="false">IF(N(B24)=0,"",C24)</f>
        <v/>
      </c>
    </row>
    <row r="25" customFormat="false" ht="15" hidden="false" customHeight="false" outlineLevel="0" collapsed="false">
      <c r="B25" s="24" t="str">
        <f aca="false">IF(N('Cash Flows'!A22)=0,"",'Cash Flows'!A22)</f>
        <v/>
      </c>
      <c r="C25" s="25" t="str">
        <f aca="false">IF(N('Cash Flows'!A22)=0,"",'Cash Flows'!B22)</f>
        <v/>
      </c>
      <c r="D25" s="26" t="str">
        <f aca="false">IF(N(B25)=0,"",IFERROR(-C25/INDEX(googlefinance("SPY","close",B25),2,2),""))</f>
        <v/>
      </c>
      <c r="E25" s="27" t="str">
        <f aca="false">IF(N(B25)=0,"",C25)</f>
        <v/>
      </c>
    </row>
    <row r="26" customFormat="false" ht="15" hidden="false" customHeight="false" outlineLevel="0" collapsed="false">
      <c r="B26" s="24" t="str">
        <f aca="false">IF(N('Cash Flows'!A23)=0,"",'Cash Flows'!A23)</f>
        <v/>
      </c>
      <c r="C26" s="25" t="str">
        <f aca="false">IF(N('Cash Flows'!A23)=0,"",'Cash Flows'!B23)</f>
        <v/>
      </c>
      <c r="D26" s="26" t="str">
        <f aca="false">IF(N(B26)=0,"",IFERROR(-C26/INDEX(googlefinance("SPY","close",B26),2,2),""))</f>
        <v/>
      </c>
      <c r="E26" s="27" t="str">
        <f aca="false">IF(N(B26)=0,"",C26)</f>
        <v/>
      </c>
    </row>
    <row r="27" customFormat="false" ht="15" hidden="false" customHeight="false" outlineLevel="0" collapsed="false">
      <c r="B27" s="24" t="str">
        <f aca="false">IF(N('Cash Flows'!A24)=0,"",'Cash Flows'!A24)</f>
        <v/>
      </c>
      <c r="C27" s="25" t="str">
        <f aca="false">IF(N('Cash Flows'!A24)=0,"",'Cash Flows'!B24)</f>
        <v/>
      </c>
      <c r="D27" s="26" t="str">
        <f aca="false">IF(N(B27)=0,"",IFERROR(-C27/INDEX(googlefinance("SPY","close",B27),2,2),""))</f>
        <v/>
      </c>
      <c r="E27" s="27" t="str">
        <f aca="false">IF(N(B27)=0,"",C27)</f>
        <v/>
      </c>
    </row>
    <row r="28" customFormat="false" ht="15" hidden="false" customHeight="false" outlineLevel="0" collapsed="false">
      <c r="B28" s="24" t="str">
        <f aca="false">IF(N('Cash Flows'!A25)=0,"",'Cash Flows'!A25)</f>
        <v/>
      </c>
      <c r="C28" s="25" t="str">
        <f aca="false">IF(N('Cash Flows'!A25)=0,"",'Cash Flows'!B25)</f>
        <v/>
      </c>
      <c r="D28" s="26" t="str">
        <f aca="false">IF(N(B28)=0,"",IFERROR(-C28/INDEX(googlefinance("SPY","close",B28),2,2),""))</f>
        <v/>
      </c>
      <c r="E28" s="27" t="str">
        <f aca="false">IF(N(B28)=0,"",C28)</f>
        <v/>
      </c>
    </row>
    <row r="29" customFormat="false" ht="15" hidden="false" customHeight="false" outlineLevel="0" collapsed="false">
      <c r="B29" s="24" t="str">
        <f aca="false">IF(N('Cash Flows'!A26)=0,"",'Cash Flows'!A26)</f>
        <v/>
      </c>
      <c r="C29" s="25" t="str">
        <f aca="false">IF(N('Cash Flows'!A26)=0,"",'Cash Flows'!B26)</f>
        <v/>
      </c>
      <c r="D29" s="26" t="str">
        <f aca="false">IF(N(B29)=0,"",IFERROR(-C29/INDEX(googlefinance("SPY","close",B29),2,2),""))</f>
        <v/>
      </c>
      <c r="E29" s="27" t="str">
        <f aca="false">IF(N(B29)=0,"",C29)</f>
        <v/>
      </c>
    </row>
    <row r="30" customFormat="false" ht="15" hidden="false" customHeight="false" outlineLevel="0" collapsed="false">
      <c r="B30" s="24" t="str">
        <f aca="false">IF(N('Cash Flows'!A27)=0,"",'Cash Flows'!A27)</f>
        <v/>
      </c>
      <c r="C30" s="25" t="str">
        <f aca="false">IF(N('Cash Flows'!A27)=0,"",'Cash Flows'!B27)</f>
        <v/>
      </c>
      <c r="D30" s="26" t="str">
        <f aca="false">IF(N(B30)=0,"",IFERROR(-C30/INDEX(googlefinance("SPY","close",B30),2,2),""))</f>
        <v/>
      </c>
      <c r="E30" s="27" t="str">
        <f aca="false">IF(N(B30)=0,"",C30)</f>
        <v/>
      </c>
    </row>
    <row r="31" customFormat="false" ht="15" hidden="false" customHeight="false" outlineLevel="0" collapsed="false">
      <c r="B31" s="24" t="str">
        <f aca="false">IF(N('Cash Flows'!A28)=0,"",'Cash Flows'!A28)</f>
        <v/>
      </c>
      <c r="C31" s="25" t="str">
        <f aca="false">IF(N('Cash Flows'!A28)=0,"",'Cash Flows'!B28)</f>
        <v/>
      </c>
      <c r="D31" s="26" t="str">
        <f aca="false">IF(N(B31)=0,"",IFERROR(-C31/INDEX(googlefinance("SPY","close",B31),2,2),""))</f>
        <v/>
      </c>
      <c r="E31" s="27" t="str">
        <f aca="false">IF(N(B31)=0,"",C31)</f>
        <v/>
      </c>
    </row>
    <row r="32" customFormat="false" ht="15" hidden="false" customHeight="false" outlineLevel="0" collapsed="false">
      <c r="B32" s="24" t="str">
        <f aca="false">IF(N('Cash Flows'!A29)=0,"",'Cash Flows'!A29)</f>
        <v/>
      </c>
      <c r="C32" s="25" t="str">
        <f aca="false">IF(N('Cash Flows'!A29)=0,"",'Cash Flows'!B29)</f>
        <v/>
      </c>
      <c r="D32" s="26" t="str">
        <f aca="false">IF(N(B32)=0,"",IFERROR(-C32/INDEX(googlefinance("SPY","close",B32),2,2),""))</f>
        <v/>
      </c>
      <c r="E32" s="27" t="str">
        <f aca="false">IF(N(B32)=0,"",C32)</f>
        <v/>
      </c>
    </row>
    <row r="33" customFormat="false" ht="15" hidden="false" customHeight="false" outlineLevel="0" collapsed="false">
      <c r="B33" s="24" t="str">
        <f aca="false">IF(N('Cash Flows'!A30)=0,"",'Cash Flows'!A30)</f>
        <v/>
      </c>
      <c r="C33" s="25" t="str">
        <f aca="false">IF(N('Cash Flows'!A30)=0,"",'Cash Flows'!B30)</f>
        <v/>
      </c>
      <c r="D33" s="26" t="str">
        <f aca="false">IF(N(B33)=0,"",IFERROR(-C33/INDEX(googlefinance("SPY","close",B33),2,2),""))</f>
        <v/>
      </c>
      <c r="E33" s="27" t="str">
        <f aca="false">IF(N(B33)=0,"",C33)</f>
        <v/>
      </c>
    </row>
    <row r="34" customFormat="false" ht="15" hidden="false" customHeight="false" outlineLevel="0" collapsed="false">
      <c r="B34" s="24" t="str">
        <f aca="false">IF(N('Cash Flows'!A31)=0,"",'Cash Flows'!A31)</f>
        <v/>
      </c>
      <c r="C34" s="25" t="str">
        <f aca="false">IF(N('Cash Flows'!A31)=0,"",'Cash Flows'!B31)</f>
        <v/>
      </c>
      <c r="D34" s="26" t="str">
        <f aca="false">IF(N(B34)=0,"",IFERROR(-C34/INDEX(googlefinance("SPY","close",B34),2,2),""))</f>
        <v/>
      </c>
      <c r="E34" s="27" t="str">
        <f aca="false">IF(N(B34)=0,"",C34)</f>
        <v/>
      </c>
    </row>
    <row r="35" customFormat="false" ht="15" hidden="false" customHeight="false" outlineLevel="0" collapsed="false">
      <c r="B35" s="24" t="str">
        <f aca="false">IF(N('Cash Flows'!A32)=0,"",'Cash Flows'!A32)</f>
        <v/>
      </c>
      <c r="C35" s="25" t="str">
        <f aca="false">IF(N('Cash Flows'!A32)=0,"",'Cash Flows'!B32)</f>
        <v/>
      </c>
      <c r="D35" s="26" t="str">
        <f aca="false">IF(N(B35)=0,"",IFERROR(-C35/INDEX(googlefinance("SPY","close",B35),2,2),""))</f>
        <v/>
      </c>
      <c r="E35" s="27" t="str">
        <f aca="false">IF(N(B35)=0,"",C35)</f>
        <v/>
      </c>
    </row>
    <row r="36" customFormat="false" ht="15" hidden="false" customHeight="false" outlineLevel="0" collapsed="false">
      <c r="B36" s="24" t="str">
        <f aca="false">IF(N('Cash Flows'!A33)=0,"",'Cash Flows'!A33)</f>
        <v/>
      </c>
      <c r="C36" s="25" t="str">
        <f aca="false">IF(N('Cash Flows'!A33)=0,"",'Cash Flows'!B33)</f>
        <v/>
      </c>
      <c r="D36" s="26" t="str">
        <f aca="false">IF(N(B36)=0,"",IFERROR(-C36/INDEX(googlefinance("SPY","close",B36),2,2),""))</f>
        <v/>
      </c>
      <c r="E36" s="27" t="str">
        <f aca="false">IF(N(B36)=0,"",C36)</f>
        <v/>
      </c>
    </row>
    <row r="37" customFormat="false" ht="15" hidden="false" customHeight="false" outlineLevel="0" collapsed="false">
      <c r="B37" s="24" t="str">
        <f aca="false">IF(N('Cash Flows'!A34)=0,"",'Cash Flows'!A34)</f>
        <v/>
      </c>
      <c r="C37" s="25" t="str">
        <f aca="false">IF(N('Cash Flows'!A34)=0,"",'Cash Flows'!B34)</f>
        <v/>
      </c>
      <c r="D37" s="26" t="str">
        <f aca="false">IF(N(B37)=0,"",IFERROR(-C37/INDEX(googlefinance("SPY","close",B37),2,2),""))</f>
        <v/>
      </c>
      <c r="E37" s="27" t="str">
        <f aca="false">IF(N(B37)=0,"",C37)</f>
        <v/>
      </c>
    </row>
    <row r="38" customFormat="false" ht="15" hidden="false" customHeight="false" outlineLevel="0" collapsed="false">
      <c r="B38" s="24" t="str">
        <f aca="false">IF(N('Cash Flows'!A35)=0,"",'Cash Flows'!A35)</f>
        <v/>
      </c>
      <c r="C38" s="25" t="str">
        <f aca="false">IF(N('Cash Flows'!A35)=0,"",'Cash Flows'!B35)</f>
        <v/>
      </c>
      <c r="D38" s="26" t="str">
        <f aca="false">IF(N(B38)=0,"",IFERROR(-C38/INDEX(googlefinance("SPY","close",B38),2,2),""))</f>
        <v/>
      </c>
      <c r="E38" s="27" t="str">
        <f aca="false">IF(N(B38)=0,"",C38)</f>
        <v/>
      </c>
    </row>
    <row r="39" customFormat="false" ht="15" hidden="false" customHeight="false" outlineLevel="0" collapsed="false">
      <c r="B39" s="24" t="str">
        <f aca="false">IF(N('Cash Flows'!A36)=0,"",'Cash Flows'!A36)</f>
        <v/>
      </c>
      <c r="C39" s="25" t="str">
        <f aca="false">IF(N('Cash Flows'!A36)=0,"",'Cash Flows'!B36)</f>
        <v/>
      </c>
      <c r="D39" s="26" t="str">
        <f aca="false">IF(N(B39)=0,"",IFERROR(-C39/INDEX(googlefinance("SPY","close",B39),2,2),""))</f>
        <v/>
      </c>
      <c r="E39" s="27" t="str">
        <f aca="false">IF(N(B39)=0,"",C39)</f>
        <v/>
      </c>
    </row>
    <row r="40" customFormat="false" ht="15" hidden="false" customHeight="false" outlineLevel="0" collapsed="false">
      <c r="B40" s="28" t="n">
        <f aca="false">MAX('Quarter Values'!A2:A34)</f>
        <v>46188</v>
      </c>
      <c r="C40" s="29" t="n">
        <f aca="false">IFERROR(INDEX('Quarter Values'!D2:D34,MATCH(MAX('Quarter Values'!A2:A34),'Quarter Values'!A2:A34,0)),"")</f>
        <v>143500</v>
      </c>
      <c r="D40" s="30" t="n">
        <f aca="false">SUM(D5:D39)</f>
        <v>0</v>
      </c>
      <c r="E40" s="29" t="str">
        <f aca="false">IFERROR(D40*INDEX(googlefinance("SPY","close",B40),2,2),"")</f>
        <v/>
      </c>
      <c r="F40" s="31" t="s">
        <v>35</v>
      </c>
    </row>
    <row r="43" customFormat="false" ht="15" hidden="false" customHeight="false" outlineLevel="0" collapsed="false">
      <c r="B43" s="32" t="s">
        <v>36</v>
      </c>
      <c r="C43" s="32"/>
      <c r="D43" s="32"/>
      <c r="E43" s="32"/>
    </row>
    <row r="44" customFormat="false" ht="15" hidden="false" customHeight="false" outlineLevel="0" collapsed="false">
      <c r="B44" s="7" t="s">
        <v>37</v>
      </c>
      <c r="C44" s="7" t="s">
        <v>38</v>
      </c>
      <c r="D44" s="7" t="s">
        <v>39</v>
      </c>
      <c r="E44" s="7" t="s">
        <v>40</v>
      </c>
    </row>
    <row r="45" customFormat="false" ht="15" hidden="false" customHeight="false" outlineLevel="0" collapsed="false">
      <c r="B45" s="33" t="s">
        <v>41</v>
      </c>
      <c r="C45" s="34" t="str">
        <f aca="false">IFERROR(XIRR(filter(C5:C40,B5:B40&lt;&gt;""),filter(B5:B40,B5:B40&lt;&gt;"")),"—")</f>
        <v>—</v>
      </c>
      <c r="D45" s="34" t="str">
        <f aca="false">IFERROR(XIRR(filter(E5:E40,B5:B40&lt;&gt;""),filter(B5:B40,B5:B40&lt;&gt;"")),"—")</f>
        <v>—</v>
      </c>
      <c r="E45" s="34" t="str">
        <f aca="false">IFERROR(C45-D45,"—")</f>
        <v>—</v>
      </c>
    </row>
    <row r="47" customFormat="false" ht="15" hidden="false" customHeight="false" outlineLevel="0" collapsed="false">
      <c r="B47" s="32" t="s">
        <v>42</v>
      </c>
      <c r="C47" s="32"/>
      <c r="D47" s="32"/>
      <c r="E47" s="32"/>
    </row>
    <row r="48" customFormat="false" ht="15" hidden="false" customHeight="false" outlineLevel="0" collapsed="false">
      <c r="B48" s="33" t="s">
        <v>43</v>
      </c>
      <c r="C48" s="35" t="n">
        <v>46023</v>
      </c>
    </row>
    <row r="49" customFormat="false" ht="15" hidden="false" customHeight="false" outlineLevel="0" collapsed="false">
      <c r="B49" s="33" t="s">
        <v>44</v>
      </c>
      <c r="C49" s="35" t="n">
        <v>46387</v>
      </c>
    </row>
    <row r="50" customFormat="false" ht="15" hidden="false" customHeight="false" outlineLevel="0" collapsed="false">
      <c r="B50" s="33" t="s">
        <v>45</v>
      </c>
      <c r="C50" s="34" t="str">
        <f aca="false">IFERROR(XIRR(filter(C5:C40,(B5:B40&lt;&gt;"")*(B5:B40&gt;=C48)*(B5:B40&lt;=C49)),filter(B5:B40,(B5:B40&lt;&gt;"")*(B5:B40&gt;=C48)*(B5:B40&lt;=C49))),"—")</f>
        <v>—</v>
      </c>
    </row>
    <row r="51" customFormat="false" ht="15" hidden="false" customHeight="false" outlineLevel="0" collapsed="false">
      <c r="B51" s="33" t="s">
        <v>46</v>
      </c>
      <c r="C51" s="34" t="str">
        <f aca="false">IFERROR(XIRR(filter(E5:E40,(B5:B40&lt;&gt;"")*(B5:B40&gt;=C48)*(B5:B40&lt;=C49)),filter(B5:B40,(B5:B40&lt;&gt;"")*(B5:B40&gt;=C48)*(B5:B40&lt;=C49))),"—")</f>
        <v>—</v>
      </c>
    </row>
    <row r="52" customFormat="false" ht="15" hidden="false" customHeight="false" outlineLevel="0" collapsed="false">
      <c r="B52" s="33" t="s">
        <v>40</v>
      </c>
      <c r="C52" s="34" t="str">
        <f aca="false">IFERROR(C50-C51,"—")</f>
        <v>—</v>
      </c>
    </row>
    <row r="54" customFormat="false" ht="15" hidden="false" customHeight="true" outlineLevel="0" collapsed="false">
      <c r="B54" s="14" t="s">
        <v>47</v>
      </c>
      <c r="C54" s="14"/>
      <c r="D54" s="14"/>
      <c r="E54" s="14"/>
      <c r="F54" s="14"/>
      <c r="G54" s="14"/>
    </row>
    <row r="55" customFormat="false" ht="15" hidden="false" customHeight="false" outlineLevel="0" collapsed="false">
      <c r="B55" s="14"/>
      <c r="C55" s="14"/>
      <c r="D55" s="14"/>
      <c r="E55" s="14"/>
      <c r="F55" s="14"/>
      <c r="G55" s="14"/>
    </row>
  </sheetData>
  <mergeCells count="5">
    <mergeCell ref="B2:G2"/>
    <mergeCell ref="E4:F4"/>
    <mergeCell ref="B43:E43"/>
    <mergeCell ref="B47:E47"/>
    <mergeCell ref="B54:G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2026-06-17T18:46:34Z</dcterms:created>
  <dc:creator>openpyxl</dc:creator>
  <dc:description/>
  <dc:language>en-US</dc:language>
  <cp:lastModifiedBy/>
  <dcterms:modified xsi:type="dcterms:W3CDTF">2026-06-17T18:46:34Z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